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fia/Documents/MFIA - PUJ - Maestría/Proyecto de Grado/1. Organización de data/"/>
    </mc:Choice>
  </mc:AlternateContent>
  <xr:revisionPtr revIDLastSave="0" documentId="13_ncr:1_{4AFE86C4-320C-524F-8170-7F45EB4F89F6}" xr6:coauthVersionLast="47" xr6:coauthVersionMax="47" xr10:uidLastSave="{00000000-0000-0000-0000-000000000000}"/>
  <bookViews>
    <workbookView xWindow="25940" yWindow="500" windowWidth="25440" windowHeight="13900" xr2:uid="{FC3EC2AE-85FB-FE46-97D1-8F348F37C5AF}"/>
  </bookViews>
  <sheets>
    <sheet name="Tablas Finales" sheetId="1" r:id="rId1"/>
    <sheet name="pixeles_por_categoria" sheetId="3" r:id="rId2"/>
    <sheet name="metricas_por_categoria" sheetId="4" r:id="rId3"/>
    <sheet name="Hoja2" sheetId="2" r:id="rId4"/>
  </sheets>
  <definedNames>
    <definedName name="DatosExternos_1" localSheetId="2" hidden="1">metricas_por_categoria!$B$1:$I$10</definedName>
    <definedName name="DatosExternos_1" localSheetId="1" hidden="1">pixeles_por_categoria!$A$1:$D$10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C18" i="1"/>
  <c r="D18" i="1" s="1"/>
  <c r="C7" i="1"/>
  <c r="D7" i="1" s="1"/>
  <c r="R18" i="1"/>
  <c r="S18" i="1" s="1"/>
  <c r="R13" i="1"/>
  <c r="S4" i="1" s="1"/>
  <c r="M18" i="1"/>
  <c r="N18" i="1" s="1"/>
  <c r="H18" i="1"/>
  <c r="I18" i="1" s="1"/>
  <c r="M7" i="1"/>
  <c r="N4" i="1" s="1"/>
  <c r="H9" i="1"/>
  <c r="I5" i="1" s="1"/>
  <c r="V5" i="1" l="1"/>
  <c r="D4" i="1"/>
  <c r="X5" i="1"/>
  <c r="W8" i="1"/>
  <c r="AI8" i="1" s="1"/>
  <c r="D16" i="1"/>
  <c r="D17" i="1"/>
  <c r="S16" i="1"/>
  <c r="S17" i="1"/>
  <c r="S8" i="1"/>
  <c r="S11" i="1"/>
  <c r="S10" i="1"/>
  <c r="S9" i="1"/>
  <c r="S7" i="1"/>
  <c r="S6" i="1"/>
  <c r="S13" i="1"/>
  <c r="S5" i="1"/>
  <c r="S12" i="1"/>
  <c r="N16" i="1"/>
  <c r="N17" i="1"/>
  <c r="I16" i="1"/>
  <c r="I9" i="1"/>
  <c r="I17" i="1"/>
  <c r="I4" i="1"/>
  <c r="I8" i="1"/>
  <c r="N7" i="1"/>
  <c r="I7" i="1"/>
  <c r="N6" i="1"/>
  <c r="I6" i="1"/>
  <c r="N5" i="1"/>
  <c r="AL5" i="1" l="1"/>
  <c r="AL8" i="1"/>
  <c r="V8" i="1"/>
  <c r="AB8" i="1" s="1"/>
  <c r="AO7" i="1" s="1"/>
  <c r="AB5" i="1"/>
  <c r="AO4" i="1" s="1"/>
  <c r="Z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DA6F66-30DC-0C4F-9E4F-AA5E97B05672}" keepAlive="1" name="Consulta - metricas_por_categoria" description="Conexión a la consulta 'metricas_por_categoria' en el libro." type="5" refreshedVersion="8" background="1" saveData="1">
    <dbPr connection="Provider=Microsoft.Mashup.OleDb.1;Data Source=$Workbook$;Location=metricas_por_categoria;Extended Properties=&quot;&quot;" command="SELECT * FROM [metricas_por_categoria]"/>
  </connection>
  <connection id="2" xr16:uid="{859430C6-BCC1-A742-964E-485473E451F6}" keepAlive="1" name="Consulta - metricas_por_categoria (2)" description="Conexión a la consulta 'metricas_por_categoria (2)' en el libro." type="5" refreshedVersion="8" background="1" saveData="1">
    <dbPr connection="Provider=Microsoft.Mashup.OleDb.1;Data Source=$Workbook$;Location=&quot;metricas_por_categoria (2)&quot;;Extended Properties=&quot;&quot;" command="SELECT * FROM [metricas_por_categoria (2)]"/>
  </connection>
  <connection id="3" xr16:uid="{4A48245E-8B8B-994D-B70E-01912ED43C33}" keepAlive="1" name="Consulta - pixeles_por_categoria" description="Conexión a la consulta 'pixeles_por_categoria' en el libro." type="5" refreshedVersion="8" background="1" saveData="1">
    <dbPr connection="Provider=Microsoft.Mashup.OleDb.1;Data Source=$Workbook$;Location=pixeles_por_categoria;Extended Properties=&quot;&quot;" command="SELECT * FROM [pixeles_por_categoria]"/>
  </connection>
</connections>
</file>

<file path=xl/sharedStrings.xml><?xml version="1.0" encoding="utf-8"?>
<sst xmlns="http://schemas.openxmlformats.org/spreadsheetml/2006/main" count="136" uniqueCount="40">
  <si>
    <t>Tomate</t>
  </si>
  <si>
    <t>Maíz</t>
  </si>
  <si>
    <t>Manzana</t>
  </si>
  <si>
    <t>Papa</t>
  </si>
  <si>
    <t>Fresa</t>
  </si>
  <si>
    <t>Total de Imágenes</t>
  </si>
  <si>
    <t>% de Imágenes sobre Total</t>
  </si>
  <si>
    <t>Total</t>
  </si>
  <si>
    <t>Fríjol</t>
  </si>
  <si>
    <t>Coliflor</t>
  </si>
  <si>
    <t>Pepino Cohombro</t>
  </si>
  <si>
    <t>Enfermo</t>
  </si>
  <si>
    <t>Saludable</t>
  </si>
  <si>
    <t>Estado</t>
  </si>
  <si>
    <t>PLANTVILLAGE</t>
  </si>
  <si>
    <t>PLANTPAD</t>
  </si>
  <si>
    <t>clase</t>
  </si>
  <si>
    <t>numero_imagenes</t>
  </si>
  <si>
    <t>total_pixeles</t>
  </si>
  <si>
    <t>promedio_pixeles_por_imagen</t>
  </si>
  <si>
    <t>Yuca</t>
  </si>
  <si>
    <t>n_imagenes</t>
  </si>
  <si>
    <t>pixeles_totales</t>
  </si>
  <si>
    <t>pixeles_promedio</t>
  </si>
  <si>
    <t>ancho_promedio</t>
  </si>
  <si>
    <t>alto_promedio</t>
  </si>
  <si>
    <t>brillo_promedio</t>
  </si>
  <si>
    <t>varianza_brillo</t>
  </si>
  <si>
    <t>Dataset</t>
  </si>
  <si>
    <t>Cassava Leaf Disease Classification</t>
  </si>
  <si>
    <t>PlantVillage</t>
  </si>
  <si>
    <t>PlantPAD</t>
  </si>
  <si>
    <t>Planta</t>
  </si>
  <si>
    <t>DATASET FINAL</t>
  </si>
  <si>
    <t>CASSAVA</t>
  </si>
  <si>
    <t>Train</t>
  </si>
  <si>
    <t>Validation</t>
  </si>
  <si>
    <t>Test</t>
  </si>
  <si>
    <t>Total de imágenes</t>
  </si>
  <si>
    <t>Conjunto de datos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</si>
</sst>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8" formatCode="0.0%"/>
    <numFmt numFmtId="170" formatCode="0.0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9" fontId="3" fillId="0" borderId="1" xfId="2" applyFont="1" applyBorder="1"/>
    <xf numFmtId="0" fontId="6" fillId="0" borderId="1" xfId="0" applyFont="1" applyBorder="1"/>
    <xf numFmtId="9" fontId="5" fillId="0" borderId="1" xfId="2" applyFont="1" applyBorder="1"/>
    <xf numFmtId="0" fontId="7" fillId="0" borderId="0" xfId="0" applyFont="1"/>
    <xf numFmtId="168" fontId="3" fillId="0" borderId="1" xfId="2" applyNumberFormat="1" applyFont="1" applyBorder="1"/>
    <xf numFmtId="0" fontId="0" fillId="0" borderId="0" xfId="0" applyNumberFormat="1"/>
    <xf numFmtId="0" fontId="8" fillId="0" borderId="1" xfId="0" applyFont="1" applyFill="1" applyBorder="1"/>
    <xf numFmtId="0" fontId="9" fillId="0" borderId="1" xfId="0" applyNumberFormat="1" applyFont="1" applyFill="1" applyBorder="1" applyAlignment="1">
      <alignment wrapText="1"/>
    </xf>
    <xf numFmtId="0" fontId="9" fillId="0" borderId="1" xfId="0" applyNumberFormat="1" applyFont="1" applyFill="1" applyBorder="1"/>
    <xf numFmtId="0" fontId="9" fillId="0" borderId="1" xfId="0" applyFont="1" applyFill="1" applyBorder="1"/>
    <xf numFmtId="0" fontId="9" fillId="0" borderId="2" xfId="0" applyNumberFormat="1" applyFont="1" applyFill="1" applyBorder="1" applyAlignment="1">
      <alignment horizontal="center"/>
    </xf>
    <xf numFmtId="0" fontId="9" fillId="0" borderId="3" xfId="0" applyNumberFormat="1" applyFont="1" applyFill="1" applyBorder="1" applyAlignment="1">
      <alignment horizontal="center"/>
    </xf>
    <xf numFmtId="0" fontId="9" fillId="0" borderId="4" xfId="0" applyNumberFormat="1" applyFont="1" applyFill="1" applyBorder="1" applyAlignment="1">
      <alignment horizontal="center"/>
    </xf>
    <xf numFmtId="0" fontId="2" fillId="0" borderId="0" xfId="0" applyFont="1"/>
    <xf numFmtId="0" fontId="5" fillId="0" borderId="0" xfId="0" applyFont="1" applyFill="1" applyBorder="1"/>
    <xf numFmtId="9" fontId="0" fillId="0" borderId="0" xfId="0" applyNumberFormat="1"/>
    <xf numFmtId="0" fontId="0" fillId="0" borderId="1" xfId="0" applyBorder="1" applyAlignment="1">
      <alignment horizontal="center"/>
    </xf>
    <xf numFmtId="170" fontId="6" fillId="0" borderId="0" xfId="0" applyNumberFormat="1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41" fontId="0" fillId="0" borderId="5" xfId="1" applyFont="1" applyBorder="1" applyAlignment="1">
      <alignment horizontal="center"/>
    </xf>
    <xf numFmtId="41" fontId="0" fillId="0" borderId="6" xfId="1" applyFont="1" applyBorder="1" applyAlignment="1">
      <alignment horizontal="center"/>
    </xf>
    <xf numFmtId="41" fontId="0" fillId="0" borderId="7" xfId="1" applyFont="1" applyBorder="1" applyAlignment="1">
      <alignment horizontal="center"/>
    </xf>
    <xf numFmtId="41" fontId="0" fillId="0" borderId="0" xfId="1" applyFont="1"/>
    <xf numFmtId="41" fontId="0" fillId="0" borderId="1" xfId="1" applyFont="1" applyBorder="1" applyAlignment="1">
      <alignment horizontal="center"/>
    </xf>
    <xf numFmtId="41" fontId="0" fillId="0" borderId="5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5" xfId="1" applyFont="1" applyBorder="1" applyAlignment="1">
      <alignment horizontal="left" vertical="center"/>
    </xf>
    <xf numFmtId="41" fontId="0" fillId="0" borderId="6" xfId="1" applyFont="1" applyBorder="1" applyAlignment="1">
      <alignment horizontal="left" vertical="center"/>
    </xf>
    <xf numFmtId="41" fontId="0" fillId="0" borderId="7" xfId="1" applyFont="1" applyBorder="1" applyAlignment="1">
      <alignment horizontal="left" vertical="center"/>
    </xf>
    <xf numFmtId="41" fontId="0" fillId="0" borderId="8" xfId="1" applyFont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6616FE25-8CDB-EC49-8EFF-B2E8696CEC14}" autoFormatId="16" applyNumberFormats="0" applyBorderFormats="0" applyFontFormats="0" applyPatternFormats="0" applyAlignmentFormats="0" applyWidthHeightFormats="0">
  <queryTableRefresh nextId="5">
    <queryTableFields count="4">
      <queryTableField id="1" name="clase" tableColumnId="1"/>
      <queryTableField id="2" name="numero_imagenes" tableColumnId="2"/>
      <queryTableField id="3" name="total_pixeles" tableColumnId="3"/>
      <queryTableField id="4" name="promedio_pixeles_por_imagen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7075A9B-9345-224B-A13D-FDEEB1C6A904}" autoFormatId="16" applyNumberFormats="0" applyBorderFormats="0" applyFontFormats="0" applyPatternFormats="0" applyAlignmentFormats="0" applyWidthHeightFormats="0">
  <queryTableRefresh nextId="10" unboundColumnsLeft="1">
    <queryTableFields count="9">
      <queryTableField id="9" dataBound="0" tableColumnId="9"/>
      <queryTableField id="1" name="clase" tableColumnId="1"/>
      <queryTableField id="2" name="n_imagenes" tableColumnId="2"/>
      <queryTableField id="3" name="pixeles_totales" tableColumnId="3"/>
      <queryTableField id="4" name="pixeles_promedio" tableColumnId="4"/>
      <queryTableField id="5" name="ancho_promedio" tableColumnId="5"/>
      <queryTableField id="6" name="alto_promedio" tableColumnId="6"/>
      <queryTableField id="7" name="brillo_promedio" tableColumnId="7"/>
      <queryTableField id="8" name="varianza_brill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ED3AD-BCBB-824A-82CE-3E359567971B}" name="pixeles_por_categoria" displayName="pixeles_por_categoria" ref="A1:D10" tableType="queryTable" totalsRowShown="0">
  <autoFilter ref="A1:D10" xr:uid="{A4EED3AD-BCBB-824A-82CE-3E359567971B}"/>
  <tableColumns count="4">
    <tableColumn id="1" xr3:uid="{1ACD6F79-8F2D-EF42-A995-6BF3385536C7}" uniqueName="1" name="clase" queryTableFieldId="1" dataDxfId="2"/>
    <tableColumn id="2" xr3:uid="{F37F2956-5138-BE41-B52E-3BBF5AA28410}" uniqueName="2" name="numero_imagenes" queryTableFieldId="2"/>
    <tableColumn id="3" xr3:uid="{CF531406-213A-8845-9E6E-18E6EEA226FD}" uniqueName="3" name="total_pixeles" queryTableFieldId="3"/>
    <tableColumn id="4" xr3:uid="{0648658A-A02D-4440-8523-006229A01D01}" uniqueName="4" name="promedio_pixeles_por_imagen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B1A75C-9AD8-634A-89C4-54327DC3FC85}" name="metricas_por_categoria" displayName="metricas_por_categoria" ref="A1:I10" tableType="queryTable" totalsRowShown="0">
  <autoFilter ref="A1:I10" xr:uid="{2EB1A75C-9AD8-634A-89C4-54327DC3FC85}"/>
  <tableColumns count="9">
    <tableColumn id="9" xr3:uid="{101BD350-B039-D246-829E-D06EFFD8370A}" uniqueName="9" name="Dataset" queryTableFieldId="9" dataDxfId="0"/>
    <tableColumn id="1" xr3:uid="{721CAEE8-EA6B-BC4D-8E87-0B9442FFCDE4}" uniqueName="1" name="clase" queryTableFieldId="1" dataDxfId="1"/>
    <tableColumn id="2" xr3:uid="{7FFEB728-A2A7-794A-B608-028DFF58BAE9}" uniqueName="2" name="n_imagenes" queryTableFieldId="2"/>
    <tableColumn id="3" xr3:uid="{7E36096D-27D4-1E4B-9D32-F003065E1E73}" uniqueName="3" name="pixeles_totales" queryTableFieldId="3"/>
    <tableColumn id="4" xr3:uid="{BD53E3C8-52D3-4049-92A7-E26AC8349282}" uniqueName="4" name="pixeles_promedio" queryTableFieldId="4"/>
    <tableColumn id="5" xr3:uid="{A44ADBE6-C783-E14B-BDE8-0FCBE4B9EFEC}" uniqueName="5" name="ancho_promedio" queryTableFieldId="5"/>
    <tableColumn id="6" xr3:uid="{6E58D346-DB74-DE4B-BC9F-D0779915607D}" uniqueName="6" name="alto_promedio" queryTableFieldId="6"/>
    <tableColumn id="7" xr3:uid="{C846B936-6ACF-924D-8624-B1FFE06DEBAA}" uniqueName="7" name="brillo_promedio" queryTableFieldId="7"/>
    <tableColumn id="8" xr3:uid="{279930C9-6A7A-A84E-A3CA-81320D26225E}" uniqueName="8" name="varianza_brillo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E288-B745-0840-A1F0-2B426387C1C6}">
  <dimension ref="A1:AR19"/>
  <sheetViews>
    <sheetView tabSelected="1" topLeftCell="V1" zoomScale="120" zoomScaleNormal="120" workbookViewId="0">
      <selection activeCell="AA11" sqref="AA11"/>
    </sheetView>
  </sheetViews>
  <sheetFormatPr baseColWidth="10" defaultColWidth="10.6640625" defaultRowHeight="16" x14ac:dyDescent="0.2"/>
  <cols>
    <col min="1" max="1" width="3.33203125" customWidth="1"/>
    <col min="2" max="2" width="15.33203125" bestFit="1" customWidth="1"/>
    <col min="3" max="3" width="17" bestFit="1" customWidth="1"/>
    <col min="4" max="4" width="24.83203125" bestFit="1" customWidth="1"/>
    <col min="5" max="6" width="3.33203125" customWidth="1"/>
    <col min="7" max="7" width="8.6640625" bestFit="1" customWidth="1"/>
    <col min="8" max="8" width="17" bestFit="1" customWidth="1"/>
    <col min="9" max="9" width="24.83203125" bestFit="1" customWidth="1"/>
    <col min="10" max="11" width="3.33203125" customWidth="1"/>
    <col min="12" max="12" width="15.33203125" bestFit="1" customWidth="1"/>
    <col min="13" max="13" width="17" bestFit="1" customWidth="1"/>
    <col min="14" max="14" width="24.83203125" bestFit="1" customWidth="1"/>
    <col min="15" max="16" width="3.33203125" customWidth="1"/>
    <col min="17" max="17" width="15.83203125" bestFit="1" customWidth="1"/>
    <col min="18" max="18" width="17" bestFit="1" customWidth="1"/>
    <col min="19" max="19" width="24.83203125" bestFit="1" customWidth="1"/>
    <col min="27" max="27" width="11" customWidth="1"/>
    <col min="28" max="32" width="4" customWidth="1"/>
    <col min="33" max="33" width="5.1640625" customWidth="1"/>
    <col min="34" max="34" width="0.83203125" customWidth="1"/>
    <col min="35" max="35" width="3.33203125" customWidth="1"/>
    <col min="36" max="36" width="4.6640625" customWidth="1"/>
    <col min="37" max="37" width="0.83203125" customWidth="1"/>
    <col min="38" max="39" width="4" customWidth="1"/>
    <col min="40" max="40" width="3.6640625" customWidth="1"/>
    <col min="41" max="41" width="6.1640625" bestFit="1" customWidth="1"/>
    <col min="42" max="43" width="3.6640625" customWidth="1"/>
    <col min="44" max="44" width="5.6640625" bestFit="1" customWidth="1"/>
    <col min="45" max="45" width="3.6640625" customWidth="1"/>
  </cols>
  <sheetData>
    <row r="1" spans="1:44" s="7" customFormat="1" ht="18" x14ac:dyDescent="0.2">
      <c r="A1" s="7" t="s">
        <v>34</v>
      </c>
      <c r="F1" s="7" t="s">
        <v>14</v>
      </c>
      <c r="K1" s="7" t="s">
        <v>15</v>
      </c>
      <c r="P1" s="7" t="s">
        <v>33</v>
      </c>
      <c r="AB1" s="20" t="s">
        <v>39</v>
      </c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pans="1:44" s="7" customFormat="1" ht="14" customHeight="1" x14ac:dyDescent="0.2">
      <c r="AB2" s="30">
        <f>AO4</f>
        <v>52943</v>
      </c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R2" s="21"/>
    </row>
    <row r="3" spans="1:44" ht="18" x14ac:dyDescent="0.2">
      <c r="B3" s="1" t="s">
        <v>32</v>
      </c>
      <c r="C3" s="1" t="s">
        <v>5</v>
      </c>
      <c r="D3" s="1" t="s">
        <v>6</v>
      </c>
      <c r="G3" s="1" t="s">
        <v>32</v>
      </c>
      <c r="H3" s="1" t="s">
        <v>5</v>
      </c>
      <c r="I3" s="1" t="s">
        <v>6</v>
      </c>
      <c r="L3" s="1" t="s">
        <v>32</v>
      </c>
      <c r="M3" s="1" t="s">
        <v>5</v>
      </c>
      <c r="N3" s="1" t="s">
        <v>6</v>
      </c>
      <c r="Q3" s="1" t="s">
        <v>32</v>
      </c>
      <c r="R3" s="1" t="s">
        <v>5</v>
      </c>
      <c r="S3" s="1" t="s">
        <v>6</v>
      </c>
      <c r="V3" s="18" t="s">
        <v>33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spans="1:44" x14ac:dyDescent="0.2">
      <c r="B4" s="2" t="s">
        <v>20</v>
      </c>
      <c r="C4" s="3">
        <v>21397</v>
      </c>
      <c r="D4" s="4">
        <f>C4/C7</f>
        <v>1</v>
      </c>
      <c r="G4" s="2" t="s">
        <v>0</v>
      </c>
      <c r="H4" s="3">
        <v>18160</v>
      </c>
      <c r="I4" s="4">
        <f>H4/$H$9</f>
        <v>0.6283084800885721</v>
      </c>
      <c r="L4" s="2" t="s">
        <v>8</v>
      </c>
      <c r="M4" s="3">
        <v>1296</v>
      </c>
      <c r="N4" s="4">
        <f t="shared" ref="N4:N6" si="0">M4/$M$7</f>
        <v>0.49035187287173665</v>
      </c>
      <c r="Q4" s="2" t="s">
        <v>20</v>
      </c>
      <c r="R4" s="3">
        <v>21397</v>
      </c>
      <c r="S4" s="4">
        <f t="shared" ref="S4:S12" si="1">R4/$R$13</f>
        <v>0.40415163477702437</v>
      </c>
      <c r="V4" t="s">
        <v>35</v>
      </c>
      <c r="X4" t="s">
        <v>37</v>
      </c>
      <c r="Y4" t="s">
        <v>38</v>
      </c>
      <c r="AB4" s="22" t="s">
        <v>35</v>
      </c>
      <c r="AC4" s="23"/>
      <c r="AD4" s="23"/>
      <c r="AE4" s="23"/>
      <c r="AF4" s="23"/>
      <c r="AG4" s="23"/>
      <c r="AH4" s="23"/>
      <c r="AI4" s="23"/>
      <c r="AJ4" s="24"/>
      <c r="AL4" s="20" t="s">
        <v>37</v>
      </c>
      <c r="AM4" s="20"/>
      <c r="AO4">
        <f>AB5+AL5</f>
        <v>52943</v>
      </c>
    </row>
    <row r="5" spans="1:44" x14ac:dyDescent="0.2">
      <c r="B5" s="2"/>
      <c r="C5" s="3"/>
      <c r="D5" s="4"/>
      <c r="G5" s="2" t="s">
        <v>1</v>
      </c>
      <c r="H5" s="3">
        <v>3852</v>
      </c>
      <c r="I5" s="4">
        <f t="shared" ref="I5:I9" si="2">H5/$H$9</f>
        <v>0.13327336262671696</v>
      </c>
      <c r="L5" s="2" t="s">
        <v>10</v>
      </c>
      <c r="M5" s="3">
        <v>691</v>
      </c>
      <c r="N5" s="4">
        <f t="shared" si="0"/>
        <v>0.26144532727960651</v>
      </c>
      <c r="Q5" s="2" t="s">
        <v>0</v>
      </c>
      <c r="R5" s="3">
        <v>18160</v>
      </c>
      <c r="S5" s="4">
        <f t="shared" si="1"/>
        <v>0.3430104074193</v>
      </c>
      <c r="V5">
        <f>R13*V6</f>
        <v>42354.400000000001</v>
      </c>
      <c r="X5">
        <f>R13*X6</f>
        <v>10588.6</v>
      </c>
      <c r="Z5">
        <f>V5+X5</f>
        <v>52943</v>
      </c>
      <c r="AB5" s="34">
        <f>V5</f>
        <v>42354.400000000001</v>
      </c>
      <c r="AC5" s="35"/>
      <c r="AD5" s="35"/>
      <c r="AE5" s="35"/>
      <c r="AF5" s="35"/>
      <c r="AG5" s="35"/>
      <c r="AH5" s="35"/>
      <c r="AI5" s="35"/>
      <c r="AJ5" s="36"/>
      <c r="AK5" s="33"/>
      <c r="AL5" s="31">
        <f>X5</f>
        <v>10588.6</v>
      </c>
      <c r="AM5" s="32"/>
    </row>
    <row r="6" spans="1:44" x14ac:dyDescent="0.2">
      <c r="B6" s="2"/>
      <c r="C6" s="3"/>
      <c r="D6" s="4"/>
      <c r="G6" s="2" t="s">
        <v>2</v>
      </c>
      <c r="H6" s="3">
        <v>3174</v>
      </c>
      <c r="I6" s="4">
        <f t="shared" si="2"/>
        <v>0.10981559007715462</v>
      </c>
      <c r="L6" s="2" t="s">
        <v>9</v>
      </c>
      <c r="M6" s="3">
        <v>656</v>
      </c>
      <c r="N6" s="4">
        <f t="shared" si="0"/>
        <v>0.24820279984865684</v>
      </c>
      <c r="Q6" s="2" t="s">
        <v>1</v>
      </c>
      <c r="R6" s="3">
        <v>3852</v>
      </c>
      <c r="S6" s="4">
        <f t="shared" si="1"/>
        <v>7.275749390854315E-2</v>
      </c>
      <c r="V6" s="19">
        <v>0.8</v>
      </c>
      <c r="X6" s="19">
        <v>0.2</v>
      </c>
    </row>
    <row r="7" spans="1:44" x14ac:dyDescent="0.2">
      <c r="B7" s="5" t="s">
        <v>7</v>
      </c>
      <c r="C7" s="1">
        <f>SUM(C4:C6)</f>
        <v>21397</v>
      </c>
      <c r="D7" s="6">
        <f>C7/$C$7</f>
        <v>1</v>
      </c>
      <c r="G7" s="2" t="s">
        <v>3</v>
      </c>
      <c r="H7" s="3">
        <v>2152</v>
      </c>
      <c r="I7" s="4">
        <f t="shared" si="2"/>
        <v>7.4455938829879248E-2</v>
      </c>
      <c r="L7" s="5" t="s">
        <v>7</v>
      </c>
      <c r="M7" s="1">
        <f>SUM(M4:M6)</f>
        <v>2643</v>
      </c>
      <c r="N7" s="6">
        <f>M7/$M$7</f>
        <v>1</v>
      </c>
      <c r="Q7" s="2" t="s">
        <v>2</v>
      </c>
      <c r="R7" s="3">
        <v>3174</v>
      </c>
      <c r="S7" s="4">
        <f t="shared" si="1"/>
        <v>5.9951268345201446E-2</v>
      </c>
      <c r="V7" t="s">
        <v>35</v>
      </c>
      <c r="W7" t="s">
        <v>36</v>
      </c>
      <c r="X7" t="s">
        <v>37</v>
      </c>
      <c r="AB7" s="22" t="s">
        <v>35</v>
      </c>
      <c r="AC7" s="23"/>
      <c r="AD7" s="23"/>
      <c r="AE7" s="23"/>
      <c r="AF7" s="23"/>
      <c r="AG7" s="24"/>
      <c r="AH7" s="25"/>
      <c r="AI7" s="22" t="s">
        <v>36</v>
      </c>
      <c r="AJ7" s="24"/>
      <c r="AL7" s="22" t="s">
        <v>37</v>
      </c>
      <c r="AM7" s="24"/>
      <c r="AO7">
        <f>+AB8+AI8+AL8</f>
        <v>52943.000000000007</v>
      </c>
    </row>
    <row r="8" spans="1:44" x14ac:dyDescent="0.2">
      <c r="G8" s="2" t="s">
        <v>4</v>
      </c>
      <c r="H8" s="3">
        <v>1565</v>
      </c>
      <c r="I8" s="4">
        <f t="shared" si="2"/>
        <v>5.4146628377677058E-2</v>
      </c>
      <c r="Q8" s="2" t="s">
        <v>3</v>
      </c>
      <c r="R8" s="3">
        <v>2152</v>
      </c>
      <c r="S8" s="4">
        <f t="shared" si="1"/>
        <v>4.064748880871881E-2</v>
      </c>
      <c r="V8">
        <f>V5*V9</f>
        <v>33883.520000000004</v>
      </c>
      <c r="W8">
        <f>V5*W9</f>
        <v>8470.880000000001</v>
      </c>
      <c r="AB8" s="26">
        <f>V8</f>
        <v>33883.520000000004</v>
      </c>
      <c r="AC8" s="27"/>
      <c r="AD8" s="27"/>
      <c r="AE8" s="27"/>
      <c r="AF8" s="27"/>
      <c r="AG8" s="28"/>
      <c r="AH8" s="37"/>
      <c r="AI8" s="26">
        <f>W8</f>
        <v>8470.880000000001</v>
      </c>
      <c r="AJ8" s="28"/>
      <c r="AK8" s="29"/>
      <c r="AL8" s="26">
        <f>X5</f>
        <v>10588.6</v>
      </c>
      <c r="AM8" s="28"/>
    </row>
    <row r="9" spans="1:44" x14ac:dyDescent="0.2">
      <c r="G9" s="5" t="s">
        <v>7</v>
      </c>
      <c r="H9" s="1">
        <f>SUM(H4:H8)</f>
        <v>28903</v>
      </c>
      <c r="I9" s="6">
        <f t="shared" si="2"/>
        <v>1</v>
      </c>
      <c r="Q9" s="2" t="s">
        <v>4</v>
      </c>
      <c r="R9" s="3">
        <v>1565</v>
      </c>
      <c r="S9" s="4">
        <f t="shared" si="1"/>
        <v>2.9560092930132408E-2</v>
      </c>
      <c r="V9" s="19">
        <v>0.8</v>
      </c>
      <c r="W9" s="19">
        <v>0.2</v>
      </c>
    </row>
    <row r="10" spans="1:44" x14ac:dyDescent="0.2">
      <c r="Q10" s="2" t="s">
        <v>8</v>
      </c>
      <c r="R10" s="3">
        <v>1296</v>
      </c>
      <c r="S10" s="4">
        <f t="shared" si="1"/>
        <v>2.4479156829042555E-2</v>
      </c>
    </row>
    <row r="11" spans="1:44" x14ac:dyDescent="0.2">
      <c r="Q11" s="2" t="s">
        <v>10</v>
      </c>
      <c r="R11" s="3">
        <v>691</v>
      </c>
      <c r="S11" s="4">
        <f t="shared" si="1"/>
        <v>1.3051772661163892E-2</v>
      </c>
    </row>
    <row r="12" spans="1:44" x14ac:dyDescent="0.2">
      <c r="Q12" s="2" t="s">
        <v>9</v>
      </c>
      <c r="R12" s="3">
        <v>656</v>
      </c>
      <c r="S12" s="4">
        <f t="shared" si="1"/>
        <v>1.2390684320873393E-2</v>
      </c>
    </row>
    <row r="13" spans="1:44" x14ac:dyDescent="0.2">
      <c r="Q13" s="5" t="s">
        <v>7</v>
      </c>
      <c r="R13" s="1">
        <f>SUM(R4:R12)</f>
        <v>52943</v>
      </c>
      <c r="S13" s="6">
        <f>R13/$R$13</f>
        <v>1</v>
      </c>
    </row>
    <row r="15" spans="1:44" x14ac:dyDescent="0.2">
      <c r="B15" s="1" t="s">
        <v>13</v>
      </c>
      <c r="C15" s="1" t="s">
        <v>5</v>
      </c>
      <c r="D15" s="1" t="s">
        <v>6</v>
      </c>
      <c r="G15" s="1" t="s">
        <v>13</v>
      </c>
      <c r="H15" s="1" t="s">
        <v>5</v>
      </c>
      <c r="I15" s="1" t="s">
        <v>6</v>
      </c>
      <c r="L15" s="1" t="s">
        <v>13</v>
      </c>
      <c r="M15" s="1" t="s">
        <v>5</v>
      </c>
      <c r="N15" s="1" t="s">
        <v>6</v>
      </c>
      <c r="Q15" s="1" t="s">
        <v>13</v>
      </c>
      <c r="R15" s="1" t="s">
        <v>5</v>
      </c>
      <c r="S15" s="1" t="s">
        <v>6</v>
      </c>
    </row>
    <row r="16" spans="1:44" x14ac:dyDescent="0.2">
      <c r="B16" s="2" t="s">
        <v>11</v>
      </c>
      <c r="C16" s="3">
        <v>18820</v>
      </c>
      <c r="D16" s="8">
        <f>C16/C18</f>
        <v>0.87956255549843432</v>
      </c>
      <c r="G16" s="2" t="s">
        <v>11</v>
      </c>
      <c r="H16" s="3">
        <v>23897</v>
      </c>
      <c r="I16" s="4">
        <f>H16/H9</f>
        <v>0.82679998616060613</v>
      </c>
      <c r="L16" s="2" t="s">
        <v>11</v>
      </c>
      <c r="M16" s="3">
        <v>1668</v>
      </c>
      <c r="N16" s="8">
        <f>M16/M18</f>
        <v>0.6311010215664018</v>
      </c>
      <c r="Q16" s="2" t="s">
        <v>11</v>
      </c>
      <c r="R16" s="3">
        <v>44385</v>
      </c>
      <c r="S16" s="8">
        <f>R16/R18</f>
        <v>0.83835445667982544</v>
      </c>
    </row>
    <row r="17" spans="2:39" x14ac:dyDescent="0.2">
      <c r="B17" s="2" t="s">
        <v>12</v>
      </c>
      <c r="C17" s="3">
        <v>2577</v>
      </c>
      <c r="D17" s="8">
        <f>C17/C18</f>
        <v>0.12043744450156564</v>
      </c>
      <c r="G17" s="2" t="s">
        <v>12</v>
      </c>
      <c r="H17" s="3">
        <v>5006</v>
      </c>
      <c r="I17" s="4">
        <f>H17/H9</f>
        <v>0.17320001383939385</v>
      </c>
      <c r="L17" s="2" t="s">
        <v>12</v>
      </c>
      <c r="M17" s="3">
        <v>975</v>
      </c>
      <c r="N17" s="8">
        <f>M17/M18</f>
        <v>0.3688989784335982</v>
      </c>
      <c r="Q17" s="2" t="s">
        <v>12</v>
      </c>
      <c r="R17" s="3">
        <v>8558</v>
      </c>
      <c r="S17" s="8">
        <f>R17/R18</f>
        <v>0.16164554332017453</v>
      </c>
    </row>
    <row r="18" spans="2:39" s="17" customFormat="1" x14ac:dyDescent="0.2">
      <c r="B18" s="5" t="s">
        <v>7</v>
      </c>
      <c r="C18" s="1">
        <f>C16+C17</f>
        <v>21397</v>
      </c>
      <c r="D18" s="6">
        <f>C18/C18</f>
        <v>1</v>
      </c>
      <c r="G18" s="5" t="s">
        <v>7</v>
      </c>
      <c r="H18" s="1">
        <f>H16+H17</f>
        <v>28903</v>
      </c>
      <c r="I18" s="6">
        <f>H18/H18</f>
        <v>1</v>
      </c>
      <c r="L18" s="5" t="s">
        <v>7</v>
      </c>
      <c r="M18" s="1">
        <f>M16+M17</f>
        <v>2643</v>
      </c>
      <c r="N18" s="6">
        <f>M18/M18</f>
        <v>1</v>
      </c>
      <c r="Q18" s="5" t="s">
        <v>7</v>
      </c>
      <c r="R18" s="1">
        <f>R16+R17</f>
        <v>52943</v>
      </c>
      <c r="S18" s="6">
        <f>R18/R18</f>
        <v>1</v>
      </c>
      <c r="AB18"/>
      <c r="AC18"/>
      <c r="AD18"/>
      <c r="AE18"/>
      <c r="AF18"/>
      <c r="AG18"/>
      <c r="AH18"/>
      <c r="AI18"/>
      <c r="AJ18"/>
      <c r="AK18"/>
      <c r="AL18"/>
      <c r="AM18"/>
    </row>
    <row r="19" spans="2:39" x14ac:dyDescent="0.2"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</sheetData>
  <mergeCells count="12">
    <mergeCell ref="AB4:AJ4"/>
    <mergeCell ref="AL4:AM4"/>
    <mergeCell ref="AB8:AG8"/>
    <mergeCell ref="AI8:AJ8"/>
    <mergeCell ref="AL8:AM8"/>
    <mergeCell ref="AB1:AM1"/>
    <mergeCell ref="AB2:AM2"/>
    <mergeCell ref="AL5:AM5"/>
    <mergeCell ref="AB5:AJ5"/>
    <mergeCell ref="AB7:AG7"/>
    <mergeCell ref="AI7:AJ7"/>
    <mergeCell ref="AL7:AM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17A72-3E63-D643-AB0C-09DA53F20F45}">
  <dimension ref="A1:D10"/>
  <sheetViews>
    <sheetView workbookViewId="0"/>
  </sheetViews>
  <sheetFormatPr baseColWidth="10" defaultRowHeight="16" x14ac:dyDescent="0.2"/>
  <cols>
    <col min="1" max="1" width="15.5" bestFit="1" customWidth="1"/>
    <col min="2" max="2" width="19.1640625" bestFit="1" customWidth="1"/>
    <col min="3" max="3" width="14.1640625" bestFit="1" customWidth="1"/>
    <col min="4" max="4" width="29.1640625" bestFit="1" customWidth="1"/>
  </cols>
  <sheetData>
    <row r="1" spans="1:4" x14ac:dyDescent="0.2">
      <c r="A1" t="s">
        <v>16</v>
      </c>
      <c r="B1" t="s">
        <v>17</v>
      </c>
      <c r="C1" t="s">
        <v>18</v>
      </c>
      <c r="D1" t="s">
        <v>19</v>
      </c>
    </row>
    <row r="2" spans="1:4" x14ac:dyDescent="0.2">
      <c r="A2" s="9" t="s">
        <v>20</v>
      </c>
      <c r="B2">
        <v>21397</v>
      </c>
      <c r="C2">
        <v>10270560000</v>
      </c>
      <c r="D2">
        <v>4800000</v>
      </c>
    </row>
    <row r="3" spans="1:4" x14ac:dyDescent="0.2">
      <c r="A3" s="9" t="s">
        <v>4</v>
      </c>
      <c r="B3">
        <v>1565</v>
      </c>
      <c r="C3">
        <v>102563840</v>
      </c>
      <c r="D3">
        <v>655360</v>
      </c>
    </row>
    <row r="4" spans="1:4" x14ac:dyDescent="0.2">
      <c r="A4" s="9" t="s">
        <v>3</v>
      </c>
      <c r="B4">
        <v>2152</v>
      </c>
      <c r="C4">
        <v>141033472</v>
      </c>
      <c r="D4">
        <v>655360</v>
      </c>
    </row>
    <row r="5" spans="1:4" x14ac:dyDescent="0.2">
      <c r="A5" s="9" t="s">
        <v>1</v>
      </c>
      <c r="B5">
        <v>3852</v>
      </c>
      <c r="C5">
        <v>252444672</v>
      </c>
      <c r="D5">
        <v>655360</v>
      </c>
    </row>
    <row r="6" spans="1:4" x14ac:dyDescent="0.2">
      <c r="A6" s="9" t="s">
        <v>0</v>
      </c>
      <c r="B6">
        <v>18160</v>
      </c>
      <c r="C6">
        <v>1190133760</v>
      </c>
      <c r="D6">
        <v>655360</v>
      </c>
    </row>
    <row r="7" spans="1:4" x14ac:dyDescent="0.2">
      <c r="A7" s="9" t="s">
        <v>2</v>
      </c>
      <c r="B7">
        <v>3171</v>
      </c>
      <c r="C7">
        <v>207814656</v>
      </c>
      <c r="D7">
        <v>655360</v>
      </c>
    </row>
    <row r="8" spans="1:4" x14ac:dyDescent="0.2">
      <c r="A8" s="9" t="s">
        <v>9</v>
      </c>
      <c r="B8">
        <v>656</v>
      </c>
      <c r="C8">
        <v>6114267073</v>
      </c>
      <c r="D8">
        <v>9320529074695120</v>
      </c>
    </row>
    <row r="9" spans="1:4" x14ac:dyDescent="0.2">
      <c r="A9" s="9" t="s">
        <v>10</v>
      </c>
      <c r="B9">
        <v>691</v>
      </c>
      <c r="C9">
        <v>3411654400</v>
      </c>
      <c r="D9">
        <v>4937271201157742</v>
      </c>
    </row>
    <row r="10" spans="1:4" x14ac:dyDescent="0.2">
      <c r="A10" s="9" t="s">
        <v>8</v>
      </c>
      <c r="B10">
        <v>1295</v>
      </c>
      <c r="C10">
        <v>323750000</v>
      </c>
      <c r="D10">
        <v>2500000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C93C-6F43-5246-9CA2-933BEB127EDB}">
  <dimension ref="A1:I23"/>
  <sheetViews>
    <sheetView workbookViewId="0">
      <selection activeCell="A14" sqref="A14:I23"/>
    </sheetView>
  </sheetViews>
  <sheetFormatPr baseColWidth="10" defaultRowHeight="16" x14ac:dyDescent="0.2"/>
  <cols>
    <col min="1" max="1" width="15.5" bestFit="1" customWidth="1"/>
    <col min="2" max="2" width="13.6640625" bestFit="1" customWidth="1"/>
    <col min="3" max="3" width="16.5" bestFit="1" customWidth="1"/>
    <col min="4" max="4" width="18.5" bestFit="1" customWidth="1"/>
    <col min="5" max="5" width="17.6640625" bestFit="1" customWidth="1"/>
    <col min="6" max="6" width="15.83203125" bestFit="1" customWidth="1"/>
    <col min="7" max="7" width="16.83203125" bestFit="1" customWidth="1"/>
    <col min="8" max="8" width="15.83203125" bestFit="1" customWidth="1"/>
    <col min="9" max="9" width="11.5" bestFit="1" customWidth="1"/>
  </cols>
  <sheetData>
    <row r="1" spans="1:9" x14ac:dyDescent="0.2">
      <c r="A1" t="s">
        <v>28</v>
      </c>
      <c r="B1" t="s">
        <v>16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 spans="1:9" x14ac:dyDescent="0.2">
      <c r="A2" s="9" t="s">
        <v>29</v>
      </c>
      <c r="B2" s="9" t="s">
        <v>20</v>
      </c>
      <c r="C2">
        <v>21397</v>
      </c>
      <c r="D2">
        <v>10270560000</v>
      </c>
      <c r="E2">
        <v>4800000</v>
      </c>
      <c r="F2">
        <v>8000</v>
      </c>
      <c r="G2">
        <v>6000</v>
      </c>
      <c r="H2">
        <v>1.1627120073102142E+16</v>
      </c>
      <c r="I2">
        <v>3.6209002494521272E+16</v>
      </c>
    </row>
    <row r="3" spans="1:9" x14ac:dyDescent="0.2">
      <c r="A3" s="9" t="s">
        <v>30</v>
      </c>
      <c r="B3" s="9" t="s">
        <v>4</v>
      </c>
      <c r="C3">
        <v>1565</v>
      </c>
      <c r="D3">
        <v>102563840</v>
      </c>
      <c r="E3">
        <v>655360</v>
      </c>
      <c r="F3">
        <v>2560</v>
      </c>
      <c r="G3">
        <v>2560</v>
      </c>
      <c r="H3">
        <v>1.3627612526988068E+16</v>
      </c>
      <c r="I3">
        <v>1.8026584852751916E+16</v>
      </c>
    </row>
    <row r="4" spans="1:9" x14ac:dyDescent="0.2">
      <c r="A4" s="9" t="s">
        <v>30</v>
      </c>
      <c r="B4" s="9" t="s">
        <v>3</v>
      </c>
      <c r="C4">
        <v>2152</v>
      </c>
      <c r="D4">
        <v>141033472</v>
      </c>
      <c r="E4">
        <v>655360</v>
      </c>
      <c r="F4">
        <v>2560</v>
      </c>
      <c r="G4">
        <v>2560</v>
      </c>
      <c r="H4">
        <v>1.2709974668283002E+16</v>
      </c>
      <c r="I4">
        <v>2153534625949035</v>
      </c>
    </row>
    <row r="5" spans="1:9" x14ac:dyDescent="0.2">
      <c r="A5" s="9" t="s">
        <v>30</v>
      </c>
      <c r="B5" s="9" t="s">
        <v>1</v>
      </c>
      <c r="C5">
        <v>3852</v>
      </c>
      <c r="D5">
        <v>252444672</v>
      </c>
      <c r="E5">
        <v>655360</v>
      </c>
      <c r="F5">
        <v>2560</v>
      </c>
      <c r="G5">
        <v>2560</v>
      </c>
      <c r="H5">
        <v>1189006581489666</v>
      </c>
      <c r="I5">
        <v>8199134855256708</v>
      </c>
    </row>
    <row r="6" spans="1:9" x14ac:dyDescent="0.2">
      <c r="A6" s="9" t="s">
        <v>30</v>
      </c>
      <c r="B6" s="9" t="s">
        <v>0</v>
      </c>
      <c r="C6">
        <v>18160</v>
      </c>
      <c r="D6">
        <v>1190133760</v>
      </c>
      <c r="E6">
        <v>655360</v>
      </c>
      <c r="F6">
        <v>2560</v>
      </c>
      <c r="G6">
        <v>2560</v>
      </c>
      <c r="H6">
        <v>1.1558434044422032E+16</v>
      </c>
      <c r="I6">
        <v>2.6869626820370264E+16</v>
      </c>
    </row>
    <row r="7" spans="1:9" x14ac:dyDescent="0.2">
      <c r="A7" s="9" t="s">
        <v>30</v>
      </c>
      <c r="B7" s="9" t="s">
        <v>2</v>
      </c>
      <c r="C7">
        <v>3171</v>
      </c>
      <c r="D7">
        <v>207814656</v>
      </c>
      <c r="E7">
        <v>655360</v>
      </c>
      <c r="F7">
        <v>2560</v>
      </c>
      <c r="G7">
        <v>2560</v>
      </c>
      <c r="H7">
        <v>1.1565278612495936E+16</v>
      </c>
      <c r="I7">
        <v>2.7705298695977324E+16</v>
      </c>
    </row>
    <row r="8" spans="1:9" x14ac:dyDescent="0.2">
      <c r="A8" s="9" t="s">
        <v>31</v>
      </c>
      <c r="B8" s="9" t="s">
        <v>9</v>
      </c>
      <c r="C8">
        <v>656</v>
      </c>
      <c r="D8">
        <v>6114267073</v>
      </c>
      <c r="E8">
        <v>9320529074695120</v>
      </c>
      <c r="F8">
        <v>3.0083963414634144E+16</v>
      </c>
      <c r="G8">
        <v>2.8886478658536584E+16</v>
      </c>
      <c r="H8">
        <v>1.2083977605775424E+16</v>
      </c>
      <c r="I8">
        <v>3758378333978379</v>
      </c>
    </row>
    <row r="9" spans="1:9" x14ac:dyDescent="0.2">
      <c r="A9" s="9" t="s">
        <v>31</v>
      </c>
      <c r="B9" s="9" t="s">
        <v>10</v>
      </c>
      <c r="C9">
        <v>691</v>
      </c>
      <c r="D9">
        <v>3411654400</v>
      </c>
      <c r="E9">
        <v>4937271201157742</v>
      </c>
      <c r="F9">
        <v>2180218523878437</v>
      </c>
      <c r="G9">
        <v>2.0878147612156296E+16</v>
      </c>
      <c r="H9">
        <v>1.2262305083931892E+16</v>
      </c>
      <c r="I9">
        <v>4544535167097159</v>
      </c>
    </row>
    <row r="10" spans="1:9" x14ac:dyDescent="0.2">
      <c r="A10" s="9" t="s">
        <v>31</v>
      </c>
      <c r="B10" s="9" t="s">
        <v>8</v>
      </c>
      <c r="C10">
        <v>1295</v>
      </c>
      <c r="D10">
        <v>323750000</v>
      </c>
      <c r="E10">
        <v>2500000</v>
      </c>
      <c r="F10">
        <v>5000</v>
      </c>
      <c r="G10">
        <v>5000</v>
      </c>
      <c r="H10">
        <v>1.2363993388108112E+16</v>
      </c>
      <c r="I10">
        <v>4354421513751165</v>
      </c>
    </row>
    <row r="14" spans="1:9" x14ac:dyDescent="0.2">
      <c r="A14" s="10" t="s">
        <v>28</v>
      </c>
      <c r="B14" s="10" t="s">
        <v>16</v>
      </c>
      <c r="C14" s="10" t="s">
        <v>21</v>
      </c>
      <c r="D14" s="10" t="s">
        <v>22</v>
      </c>
      <c r="E14" s="10" t="s">
        <v>23</v>
      </c>
      <c r="F14" s="10" t="s">
        <v>24</v>
      </c>
      <c r="G14" s="10" t="s">
        <v>25</v>
      </c>
      <c r="H14" s="10" t="s">
        <v>26</v>
      </c>
      <c r="I14" s="10" t="s">
        <v>27</v>
      </c>
    </row>
    <row r="15" spans="1:9" ht="51" x14ac:dyDescent="0.2">
      <c r="A15" s="11" t="s">
        <v>29</v>
      </c>
      <c r="B15" s="12" t="s">
        <v>20</v>
      </c>
      <c r="C15" s="13">
        <v>21397</v>
      </c>
      <c r="D15" s="13">
        <v>10270560000</v>
      </c>
      <c r="E15" s="13">
        <v>4800000</v>
      </c>
      <c r="F15" s="13">
        <v>8000</v>
      </c>
      <c r="G15" s="13">
        <v>6000</v>
      </c>
      <c r="H15" s="13">
        <v>1.1627120073102142E+16</v>
      </c>
      <c r="I15" s="13">
        <v>3.6209002494521272E+16</v>
      </c>
    </row>
    <row r="16" spans="1:9" x14ac:dyDescent="0.2">
      <c r="A16" s="14" t="s">
        <v>30</v>
      </c>
      <c r="B16" s="12" t="s">
        <v>4</v>
      </c>
      <c r="C16" s="13">
        <v>1565</v>
      </c>
      <c r="D16" s="13">
        <v>102563840</v>
      </c>
      <c r="E16" s="13">
        <v>655360</v>
      </c>
      <c r="F16" s="13">
        <v>2560</v>
      </c>
      <c r="G16" s="13">
        <v>2560</v>
      </c>
      <c r="H16" s="13">
        <v>1.3627612526988068E+16</v>
      </c>
      <c r="I16" s="13">
        <v>1.8026584852751916E+16</v>
      </c>
    </row>
    <row r="17" spans="1:9" x14ac:dyDescent="0.2">
      <c r="A17" s="15"/>
      <c r="B17" s="12" t="s">
        <v>3</v>
      </c>
      <c r="C17" s="13">
        <v>2152</v>
      </c>
      <c r="D17" s="13">
        <v>141033472</v>
      </c>
      <c r="E17" s="13">
        <v>655360</v>
      </c>
      <c r="F17" s="13">
        <v>2560</v>
      </c>
      <c r="G17" s="13">
        <v>2560</v>
      </c>
      <c r="H17" s="13">
        <v>1.2709974668283002E+16</v>
      </c>
      <c r="I17" s="13">
        <v>2153534625949035</v>
      </c>
    </row>
    <row r="18" spans="1:9" x14ac:dyDescent="0.2">
      <c r="A18" s="15"/>
      <c r="B18" s="12" t="s">
        <v>1</v>
      </c>
      <c r="C18" s="13">
        <v>3852</v>
      </c>
      <c r="D18" s="13">
        <v>252444672</v>
      </c>
      <c r="E18" s="13">
        <v>655360</v>
      </c>
      <c r="F18" s="13">
        <v>2560</v>
      </c>
      <c r="G18" s="13">
        <v>2560</v>
      </c>
      <c r="H18" s="13">
        <v>1189006581489666</v>
      </c>
      <c r="I18" s="13">
        <v>8199134855256708</v>
      </c>
    </row>
    <row r="19" spans="1:9" x14ac:dyDescent="0.2">
      <c r="A19" s="15"/>
      <c r="B19" s="12" t="s">
        <v>0</v>
      </c>
      <c r="C19" s="13">
        <v>18160</v>
      </c>
      <c r="D19" s="13">
        <v>1190133760</v>
      </c>
      <c r="E19" s="13">
        <v>655360</v>
      </c>
      <c r="F19" s="13">
        <v>2560</v>
      </c>
      <c r="G19" s="13">
        <v>2560</v>
      </c>
      <c r="H19" s="13">
        <v>1.1558434044422032E+16</v>
      </c>
      <c r="I19" s="13">
        <v>2.6869626820370264E+16</v>
      </c>
    </row>
    <row r="20" spans="1:9" x14ac:dyDescent="0.2">
      <c r="A20" s="16"/>
      <c r="B20" s="12" t="s">
        <v>2</v>
      </c>
      <c r="C20" s="13">
        <v>3171</v>
      </c>
      <c r="D20" s="13">
        <v>207814656</v>
      </c>
      <c r="E20" s="13">
        <v>655360</v>
      </c>
      <c r="F20" s="13">
        <v>2560</v>
      </c>
      <c r="G20" s="13">
        <v>2560</v>
      </c>
      <c r="H20" s="13">
        <v>1.1565278612495936E+16</v>
      </c>
      <c r="I20" s="13">
        <v>2.7705298695977324E+16</v>
      </c>
    </row>
    <row r="21" spans="1:9" x14ac:dyDescent="0.2">
      <c r="A21" s="14" t="s">
        <v>31</v>
      </c>
      <c r="B21" s="12" t="s">
        <v>9</v>
      </c>
      <c r="C21" s="13">
        <v>656</v>
      </c>
      <c r="D21" s="13">
        <v>6114267073</v>
      </c>
      <c r="E21" s="13">
        <v>9320529074695120</v>
      </c>
      <c r="F21" s="13">
        <v>3.0083963414634144E+16</v>
      </c>
      <c r="G21" s="13">
        <v>2.8886478658536584E+16</v>
      </c>
      <c r="H21" s="13">
        <v>1.2083977605775424E+16</v>
      </c>
      <c r="I21" s="13">
        <v>3758378333978379</v>
      </c>
    </row>
    <row r="22" spans="1:9" x14ac:dyDescent="0.2">
      <c r="A22" s="15"/>
      <c r="B22" s="12" t="s">
        <v>10</v>
      </c>
      <c r="C22" s="13">
        <v>691</v>
      </c>
      <c r="D22" s="13">
        <v>3411654400</v>
      </c>
      <c r="E22" s="13">
        <v>4937271201157742</v>
      </c>
      <c r="F22" s="13">
        <v>2180218523878437</v>
      </c>
      <c r="G22" s="13">
        <v>2.0878147612156296E+16</v>
      </c>
      <c r="H22" s="13">
        <v>1.2262305083931892E+16</v>
      </c>
      <c r="I22" s="13">
        <v>4544535167097159</v>
      </c>
    </row>
    <row r="23" spans="1:9" x14ac:dyDescent="0.2">
      <c r="A23" s="16"/>
      <c r="B23" s="12" t="s">
        <v>8</v>
      </c>
      <c r="C23" s="13">
        <v>1295</v>
      </c>
      <c r="D23" s="13">
        <v>323750000</v>
      </c>
      <c r="E23" s="13">
        <v>2500000</v>
      </c>
      <c r="F23" s="13">
        <v>5000</v>
      </c>
      <c r="G23" s="13">
        <v>5000</v>
      </c>
      <c r="H23" s="13">
        <v>1.2363993388108112E+16</v>
      </c>
      <c r="I23" s="13">
        <v>4354421513751165</v>
      </c>
    </row>
  </sheetData>
  <mergeCells count="2">
    <mergeCell ref="A16:A20"/>
    <mergeCell ref="A21:A2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5AB0-E80B-1B4E-9663-62B391A976F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9E1413-30B1-064D-95A3-27B7061BF1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Tablas Finales</vt:lpstr>
      <vt:lpstr>pixeles_por_categoria</vt:lpstr>
      <vt:lpstr>metricas_por_categoria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Izquierdo Aparicio</dc:creator>
  <cp:lastModifiedBy>Maria Fernanda Izquierdo Aparicio</cp:lastModifiedBy>
  <dcterms:created xsi:type="dcterms:W3CDTF">2025-04-06T14:32:47Z</dcterms:created>
  <dcterms:modified xsi:type="dcterms:W3CDTF">2025-04-06T18:08:37Z</dcterms:modified>
</cp:coreProperties>
</file>